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joao.neto6\Desktop\"/>
    </mc:Choice>
  </mc:AlternateContent>
  <bookViews>
    <workbookView xWindow="0" yWindow="0" windowWidth="28800" windowHeight="12330" activeTab="2"/>
  </bookViews>
  <sheets>
    <sheet name="Banco de Dados (conceito)" sheetId="3" r:id="rId1"/>
    <sheet name="Banco de Dados (conceito) (2)" sheetId="5" r:id="rId2"/>
    <sheet name="Banco de Dados" sheetId="1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G4" i="1"/>
  <c r="J4" i="1" s="1"/>
  <c r="C3" i="5"/>
  <c r="G3" i="5" s="1"/>
  <c r="G3" i="3" s="1"/>
  <c r="D3" i="5"/>
  <c r="E3" i="5"/>
  <c r="F3" i="5"/>
  <c r="D2" i="5"/>
  <c r="E2" i="5"/>
  <c r="F2" i="5"/>
  <c r="C2" i="5"/>
  <c r="I3" i="1" l="1"/>
  <c r="G2" i="5"/>
  <c r="G2" i="3" s="1"/>
  <c r="G3" i="1"/>
  <c r="I2" i="1" s="1"/>
  <c r="G2" i="1"/>
  <c r="J2" i="1" s="1"/>
  <c r="J3" i="1" l="1"/>
</calcChain>
</file>

<file path=xl/sharedStrings.xml><?xml version="1.0" encoding="utf-8"?>
<sst xmlns="http://schemas.openxmlformats.org/spreadsheetml/2006/main" count="45" uniqueCount="23">
  <si>
    <t>MATRÍCULA</t>
  </si>
  <si>
    <t>NOME</t>
  </si>
  <si>
    <t>MÉDIA</t>
  </si>
  <si>
    <t>SITUAÇÃO</t>
  </si>
  <si>
    <t>NOTA 1</t>
  </si>
  <si>
    <t>NOTA 2</t>
  </si>
  <si>
    <t>NOTA 3</t>
  </si>
  <si>
    <t>NOTA 4</t>
  </si>
  <si>
    <t>FALTAS</t>
  </si>
  <si>
    <t>FOTO</t>
  </si>
  <si>
    <t>joao lincoln</t>
  </si>
  <si>
    <t>C:\Users\joao.neto6\Pictures\foto  programa.jpg</t>
  </si>
  <si>
    <t>C:\Users\joao.neto6\Pictures\adicionar.jpg</t>
  </si>
  <si>
    <t>CONCEITO</t>
  </si>
  <si>
    <t>joao</t>
  </si>
  <si>
    <t>CONCEITO 1</t>
  </si>
  <si>
    <t>CONCEITO 2</t>
  </si>
  <si>
    <t>CONCEITO 3</t>
  </si>
  <si>
    <t>CONCEITO 4</t>
  </si>
  <si>
    <t>NA</t>
  </si>
  <si>
    <t>CONCEITO FINAL</t>
  </si>
  <si>
    <t>TOTAL DE FALTAS</t>
  </si>
  <si>
    <t>JOAO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</si>
</sst>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37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2" formatCode="0.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ela13" displayName="Tabela13" ref="A1:J3" totalsRowShown="0" headerRowDxfId="36" dataDxfId="35">
  <tableColumns count="10">
    <tableColumn id="1" name="MATRÍCULA" dataDxfId="34"/>
    <tableColumn id="2" name="NOME" dataDxfId="33"/>
    <tableColumn id="3" name="CONCEITO 1" dataDxfId="32"/>
    <tableColumn id="4" name="CONCEITO 2" dataDxfId="31"/>
    <tableColumn id="5" name="CONCEITO 3" dataDxfId="30"/>
    <tableColumn id="6" name="CONCEITO 4" dataDxfId="29"/>
    <tableColumn id="7" name="CONCEITO FINAL" dataDxfId="2">
      <calculatedColumnFormula>IF(Tabela135[[#This Row],[CONCEITO FINAL]]&lt;5,"NA",IF(Tabela135[[#This Row],[CONCEITO FINAL]]&lt;7,"PA","AT"))</calculatedColumnFormula>
    </tableColumn>
    <tableColumn id="8" name="TOTAL DE FALTAS" dataDxfId="28"/>
    <tableColumn id="9" name="SITUAÇÃO" dataDxfId="27"/>
    <tableColumn id="11" name="FOTO" dataDxfId="26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4" name="Tabela135" displayName="Tabela135" ref="A1:J3" totalsRowShown="0" headerRowDxfId="14" dataDxfId="13">
  <tableColumns count="10">
    <tableColumn id="1" name="MATRÍCULA" dataDxfId="12"/>
    <tableColumn id="2" name="NOME" dataDxfId="11"/>
    <tableColumn id="3" name="CONCEITO 1" dataDxfId="10">
      <calculatedColumnFormula>IF(Tabela13[[#This Row],[CONCEITO 1]]="NA",4.9,IF(Tabela13[[#This Row],[CONCEITO 1]]="PA",6.9,10))</calculatedColumnFormula>
    </tableColumn>
    <tableColumn id="4" name="CONCEITO 2" dataDxfId="3">
      <calculatedColumnFormula>IF(Tabela13[[#This Row],[CONCEITO 2]]="NA",4.9,IF(Tabela13[[#This Row],[CONCEITO 2]]="PA",6.9,10))</calculatedColumnFormula>
    </tableColumn>
    <tableColumn id="5" name="CONCEITO 3" dataDxfId="9">
      <calculatedColumnFormula>IF(Tabela13[[#This Row],[CONCEITO 3]]="NA",4.9,IF(Tabela13[[#This Row],[CONCEITO 3]]="PA",6.9,10))</calculatedColumnFormula>
    </tableColumn>
    <tableColumn id="6" name="CONCEITO 4" dataDxfId="8">
      <calculatedColumnFormula>IF(Tabela13[[#This Row],[CONCEITO 4]]="NA",4.9,IF(Tabela13[[#This Row],[CONCEITO 4]]="PA",6.9,10))</calculatedColumnFormula>
    </tableColumn>
    <tableColumn id="7" name="CONCEITO FINAL" dataDxfId="7">
      <calculatedColumnFormula>AVERAGE(Tabela135[[#This Row],[CONCEITO 1]:[CONCEITO 4]])</calculatedColumnFormula>
    </tableColumn>
    <tableColumn id="8" name="TOTAL DE FALTAS" dataDxfId="6"/>
    <tableColumn id="9" name="SITUAÇÃO" dataDxfId="5"/>
    <tableColumn id="11" name="FOTO" dataDxfId="4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A1:K4" totalsRowShown="0" headerRowDxfId="25" dataDxfId="24">
  <tableColumns count="11">
    <tableColumn id="1" name="MATRÍCULA" dataDxfId="23"/>
    <tableColumn id="2" name="NOME" dataDxfId="22"/>
    <tableColumn id="3" name="NOTA 1" dataDxfId="21"/>
    <tableColumn id="4" name="NOTA 2" dataDxfId="20"/>
    <tableColumn id="5" name="NOTA 3" dataDxfId="19"/>
    <tableColumn id="6" name="NOTA 4" dataDxfId="18"/>
    <tableColumn id="7" name="MÉDIA" dataDxfId="17">
      <calculatedColumnFormula>AVERAGE(Tabela1[[#This Row],[NOTA 1]:[NOTA 4]])</calculatedColumnFormula>
    </tableColumn>
    <tableColumn id="8" name="FALTAS" dataDxfId="16"/>
    <tableColumn id="9" name="SITUAÇÃO" dataDxfId="0">
      <calculatedColumnFormula>IF(AND(G3&gt;=7,H3&lt;=5),"APROVADO","REPROVADO")</calculatedColumnFormula>
    </tableColumn>
    <tableColumn id="12" name="CONCEITO" dataDxfId="1">
      <calculatedColumnFormula>IF(Tabela1[[#This Row],[MÉDIA]]&lt;=4.9,"NA",IF(Tabela1[[#This Row],[MÉDIA]]&lt;=6.9,"PA","AT"))</calculatedColumnFormula>
    </tableColumn>
    <tableColumn id="11" name="FOTO" dataDxfId="15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8"/>
  </sheetPr>
  <dimension ref="A1:J3"/>
  <sheetViews>
    <sheetView workbookViewId="0">
      <selection activeCell="A4" sqref="A4:XFD4"/>
    </sheetView>
  </sheetViews>
  <sheetFormatPr defaultRowHeight="15" x14ac:dyDescent="0.25"/>
  <cols>
    <col min="1" max="1" width="19.85546875" style="1" customWidth="1"/>
    <col min="2" max="2" width="50.5703125" style="1" customWidth="1"/>
    <col min="3" max="3" width="15" style="1" customWidth="1"/>
    <col min="4" max="4" width="15.140625" style="1" customWidth="1"/>
    <col min="5" max="5" width="14.42578125" style="1" customWidth="1"/>
    <col min="6" max="6" width="15.28515625" style="1" customWidth="1"/>
    <col min="7" max="7" width="18.42578125" style="1" customWidth="1"/>
    <col min="8" max="8" width="21.5703125" style="1" customWidth="1"/>
    <col min="9" max="9" width="15.42578125" style="1" customWidth="1"/>
    <col min="10" max="10" width="62.5703125" style="1" customWidth="1"/>
    <col min="11" max="16384" width="9.140625" style="1"/>
  </cols>
  <sheetData>
    <row r="1" spans="1:10" s="6" customFormat="1" ht="17.25" x14ac:dyDescent="0.3">
      <c r="A1" s="5" t="s">
        <v>0</v>
      </c>
      <c r="B1" s="5" t="s">
        <v>1</v>
      </c>
      <c r="C1" s="5" t="s">
        <v>15</v>
      </c>
      <c r="D1" s="5" t="s">
        <v>16</v>
      </c>
      <c r="E1" s="5" t="s">
        <v>17</v>
      </c>
      <c r="F1" s="5" t="s">
        <v>18</v>
      </c>
      <c r="G1" s="5" t="s">
        <v>20</v>
      </c>
      <c r="H1" s="5" t="s">
        <v>21</v>
      </c>
      <c r="I1" s="5" t="s">
        <v>3</v>
      </c>
      <c r="J1" s="5" t="s">
        <v>9</v>
      </c>
    </row>
    <row r="2" spans="1:10" x14ac:dyDescent="0.25">
      <c r="A2" s="1">
        <v>2300</v>
      </c>
      <c r="B2" s="1" t="s">
        <v>10</v>
      </c>
      <c r="C2" s="3" t="s">
        <v>19</v>
      </c>
      <c r="D2" s="3">
        <v>5</v>
      </c>
      <c r="E2" s="3">
        <v>5</v>
      </c>
      <c r="F2" s="3">
        <v>10</v>
      </c>
      <c r="G2" s="2" t="str">
        <f>IF(Tabela135[[#This Row],[CONCEITO FINAL]]&lt;5,"NA",IF(Tabela135[[#This Row],[CONCEITO FINAL]]&lt;7,"PA","AT"))</f>
        <v>AT</v>
      </c>
      <c r="H2" s="1">
        <v>1</v>
      </c>
      <c r="J2" s="1" t="s">
        <v>11</v>
      </c>
    </row>
    <row r="3" spans="1:10" x14ac:dyDescent="0.25">
      <c r="A3" s="1">
        <v>2301</v>
      </c>
      <c r="B3" s="1" t="s">
        <v>22</v>
      </c>
      <c r="C3" s="3" t="s">
        <v>19</v>
      </c>
      <c r="D3" s="3" t="s">
        <v>19</v>
      </c>
      <c r="E3" s="3" t="s">
        <v>19</v>
      </c>
      <c r="F3" s="3" t="s">
        <v>19</v>
      </c>
      <c r="G3" s="2" t="str">
        <f>IF(Tabela135[[#This Row],[CONCEITO FINAL]]&lt;5,"NA",IF(Tabela135[[#This Row],[CONCEITO FINAL]]&lt;7,"PA","AT"))</f>
        <v>NA</v>
      </c>
      <c r="I3" s="4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theme="8"/>
  </sheetPr>
  <dimension ref="A1:J3"/>
  <sheetViews>
    <sheetView workbookViewId="0">
      <selection activeCell="A4" sqref="A4"/>
    </sheetView>
  </sheetViews>
  <sheetFormatPr defaultRowHeight="15" x14ac:dyDescent="0.25"/>
  <cols>
    <col min="1" max="1" width="19.85546875" style="1" customWidth="1"/>
    <col min="2" max="2" width="50.5703125" style="1" customWidth="1"/>
    <col min="3" max="3" width="15" style="1" customWidth="1"/>
    <col min="4" max="4" width="15.140625" style="1" customWidth="1"/>
    <col min="5" max="5" width="14.42578125" style="1" customWidth="1"/>
    <col min="6" max="6" width="15.28515625" style="1" customWidth="1"/>
    <col min="7" max="7" width="18.42578125" style="1" customWidth="1"/>
    <col min="8" max="8" width="21.5703125" style="1" customWidth="1"/>
    <col min="9" max="9" width="15.42578125" style="1" customWidth="1"/>
    <col min="10" max="10" width="62.5703125" style="1" customWidth="1"/>
    <col min="11" max="16384" width="9.140625" style="1"/>
  </cols>
  <sheetData>
    <row r="1" spans="1:10" s="6" customFormat="1" ht="17.25" x14ac:dyDescent="0.3">
      <c r="A1" s="5" t="s">
        <v>0</v>
      </c>
      <c r="B1" s="5" t="s">
        <v>1</v>
      </c>
      <c r="C1" s="5" t="s">
        <v>15</v>
      </c>
      <c r="D1" s="5" t="s">
        <v>16</v>
      </c>
      <c r="E1" s="5" t="s">
        <v>17</v>
      </c>
      <c r="F1" s="5" t="s">
        <v>18</v>
      </c>
      <c r="G1" s="5" t="s">
        <v>20</v>
      </c>
      <c r="H1" s="5" t="s">
        <v>21</v>
      </c>
      <c r="I1" s="5" t="s">
        <v>3</v>
      </c>
      <c r="J1" s="5" t="s">
        <v>9</v>
      </c>
    </row>
    <row r="2" spans="1:10" x14ac:dyDescent="0.25">
      <c r="A2" s="1">
        <v>2301</v>
      </c>
      <c r="B2" s="1" t="s">
        <v>22</v>
      </c>
      <c r="C2" s="3">
        <f>IF(Tabela13[[#This Row],[CONCEITO 1]]="NA",4.9,IF(Tabela13[[#This Row],[CONCEITO 1]]="PA",6.9,10))</f>
        <v>4.9000000000000004</v>
      </c>
      <c r="D2" s="3">
        <f>IF(Tabela13[[#This Row],[CONCEITO 2]]="NA",4.9,IF(Tabela13[[#This Row],[CONCEITO 2]]="PA",6.9,10))</f>
        <v>10</v>
      </c>
      <c r="E2" s="3">
        <f>IF(Tabela13[[#This Row],[CONCEITO 3]]="NA",4.9,IF(Tabela13[[#This Row],[CONCEITO 3]]="PA",6.9,10))</f>
        <v>10</v>
      </c>
      <c r="F2" s="3">
        <f>IF(Tabela13[[#This Row],[CONCEITO 4]]="NA",4.9,IF(Tabela13[[#This Row],[CONCEITO 4]]="PA",6.9,10))</f>
        <v>10</v>
      </c>
      <c r="G2" s="2">
        <f>AVERAGE(Tabela135[[#This Row],[CONCEITO 1]:[CONCEITO 4]])</f>
        <v>8.7249999999999996</v>
      </c>
      <c r="I2" s="4"/>
    </row>
    <row r="3" spans="1:10" x14ac:dyDescent="0.25">
      <c r="A3" s="1">
        <v>2800</v>
      </c>
      <c r="C3" s="3">
        <f>IF(Tabela13[[#This Row],[CONCEITO 1]]="NA",4.9,IF(Tabela13[[#This Row],[CONCEITO 1]]="PA",6.9,10))</f>
        <v>4.9000000000000004</v>
      </c>
      <c r="D3" s="3">
        <f>IF(Tabela13[[#This Row],[CONCEITO 2]]="NA",4.9,IF(Tabela13[[#This Row],[CONCEITO 2]]="PA",6.9,10))</f>
        <v>4.9000000000000004</v>
      </c>
      <c r="E3" s="3">
        <f>IF(Tabela13[[#This Row],[CONCEITO 3]]="NA",4.9,IF(Tabela13[[#This Row],[CONCEITO 3]]="PA",6.9,10))</f>
        <v>4.9000000000000004</v>
      </c>
      <c r="F3" s="3">
        <f>IF(Tabela13[[#This Row],[CONCEITO 4]]="NA",4.9,IF(Tabela13[[#This Row],[CONCEITO 4]]="PA",6.9,10))</f>
        <v>4.9000000000000004</v>
      </c>
      <c r="G3" s="2">
        <f>AVERAGE(Tabela135[[#This Row],[CONCEITO 1]:[CONCEITO 4]])</f>
        <v>4.9000000000000004</v>
      </c>
      <c r="I3" s="4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K4"/>
  <sheetViews>
    <sheetView tabSelected="1" workbookViewId="0">
      <selection activeCell="I2" sqref="I2"/>
    </sheetView>
  </sheetViews>
  <sheetFormatPr defaultRowHeight="15" x14ac:dyDescent="0.25"/>
  <cols>
    <col min="1" max="1" width="19.85546875" style="1" customWidth="1"/>
    <col min="2" max="2" width="50.5703125" style="1" customWidth="1"/>
    <col min="3" max="4" width="12.140625" style="1" customWidth="1"/>
    <col min="5" max="5" width="12.42578125" style="1" customWidth="1"/>
    <col min="6" max="6" width="12.28515625" style="1" customWidth="1"/>
    <col min="7" max="7" width="12.85546875" style="1" customWidth="1"/>
    <col min="8" max="8" width="20.7109375" style="1" customWidth="1"/>
    <col min="9" max="10" width="15.42578125" style="1" customWidth="1"/>
    <col min="11" max="11" width="62.5703125" style="1" customWidth="1"/>
    <col min="12" max="16384" width="9.140625" style="1"/>
  </cols>
  <sheetData>
    <row r="1" spans="1:11" s="6" customFormat="1" ht="17.25" x14ac:dyDescent="0.3">
      <c r="A1" s="5" t="s">
        <v>0</v>
      </c>
      <c r="B1" s="5" t="s">
        <v>1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2</v>
      </c>
      <c r="H1" s="5" t="s">
        <v>8</v>
      </c>
      <c r="I1" s="5" t="s">
        <v>3</v>
      </c>
      <c r="J1" s="5" t="s">
        <v>13</v>
      </c>
      <c r="K1" s="5" t="s">
        <v>9</v>
      </c>
    </row>
    <row r="2" spans="1:11" x14ac:dyDescent="0.25">
      <c r="A2" s="1">
        <v>2300</v>
      </c>
      <c r="B2" s="1" t="s">
        <v>10</v>
      </c>
      <c r="C2" s="3">
        <v>4.9000000000000004</v>
      </c>
      <c r="D2" s="3">
        <v>5</v>
      </c>
      <c r="E2" s="3">
        <v>5</v>
      </c>
      <c r="F2" s="3">
        <v>10</v>
      </c>
      <c r="G2" s="2">
        <f>AVERAGE(Tabela1[[#This Row],[NOTA 1]:[NOTA 4]])</f>
        <v>6.2249999999999996</v>
      </c>
      <c r="H2" s="1">
        <v>1</v>
      </c>
      <c r="I2" s="1" t="str">
        <f>IF(AND(G3&gt;=7,H3&lt;=5),"APROVADO","REPROVADO")</f>
        <v>APROVADO</v>
      </c>
      <c r="J2" s="1" t="str">
        <f>IF(Tabela1[[#This Row],[MÉDIA]]&lt;=4.9,"NA",IF(Tabela1[[#This Row],[MÉDIA]]&lt;=6.9,"PA","AT"))</f>
        <v>PA</v>
      </c>
      <c r="K2" s="1" t="s">
        <v>11</v>
      </c>
    </row>
    <row r="3" spans="1:11" x14ac:dyDescent="0.25">
      <c r="A3" s="1">
        <v>2302</v>
      </c>
      <c r="B3" s="1" t="s">
        <v>14</v>
      </c>
      <c r="C3" s="3">
        <v>100</v>
      </c>
      <c r="D3" s="3">
        <v>10</v>
      </c>
      <c r="E3" s="3">
        <v>10</v>
      </c>
      <c r="F3" s="3">
        <v>10</v>
      </c>
      <c r="G3" s="2">
        <f>AVERAGE(Tabela1[[#This Row],[NOTA 1]:[NOTA 4]])</f>
        <v>32.5</v>
      </c>
      <c r="H3" s="1">
        <v>3</v>
      </c>
      <c r="I3" s="4" t="str">
        <f t="shared" ref="I3" si="0">IF(AND(G4&gt;=7,H4&lt;=5),"APROVADO","REPROVADO")</f>
        <v>APROVADO</v>
      </c>
      <c r="J3" s="1" t="str">
        <f>IF(Tabela1[[#This Row],[MÉDIA]]&lt;=4.9,"NA",IF(Tabela1[[#This Row],[MÉDIA]]&lt;=6.9,"PA","AT"))</f>
        <v>AT</v>
      </c>
      <c r="K3" s="1" t="s">
        <v>12</v>
      </c>
    </row>
    <row r="4" spans="1:11" x14ac:dyDescent="0.25">
      <c r="A4" s="1">
        <v>2800</v>
      </c>
      <c r="B4" s="1" t="s">
        <v>22</v>
      </c>
      <c r="C4" s="3">
        <v>10</v>
      </c>
      <c r="D4" s="3">
        <v>10</v>
      </c>
      <c r="E4" s="3">
        <v>10</v>
      </c>
      <c r="F4" s="3">
        <v>10</v>
      </c>
      <c r="G4" s="2">
        <f>AVERAGE(Tabela1[[#This Row],[NOTA 1]:[NOTA 4]])</f>
        <v>10</v>
      </c>
      <c r="H4" s="1">
        <v>2</v>
      </c>
      <c r="I4" s="4" t="str">
        <f>IF(AND(G5&gt;=7,H5&lt;=5),"APROVADO","REPROVADO")</f>
        <v>REPROVADO</v>
      </c>
      <c r="J4" s="4" t="str">
        <f>IF(Tabela1[[#This Row],[MÉDIA]]&lt;=4.9,"NA",IF(Tabela1[[#This Row],[MÉDIA]]&lt;=6.9,"PA","AT"))</f>
        <v>AT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Banco de Dados (conceito)</vt:lpstr>
      <vt:lpstr>Banco de Dados (conceito) (2)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LINCOLN DO AMARAL NETO</dc:creator>
  <cp:lastModifiedBy>JOAO LINCOLN DO AMARAL NETO</cp:lastModifiedBy>
  <dcterms:created xsi:type="dcterms:W3CDTF">2023-05-15T16:57:36Z</dcterms:created>
  <dcterms:modified xsi:type="dcterms:W3CDTF">2023-06-19T20:39:13Z</dcterms:modified>
</cp:coreProperties>
</file>